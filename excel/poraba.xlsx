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48789\RP\racunalniski-praktikum\excel\"/>
    </mc:Choice>
  </mc:AlternateContent>
  <xr:revisionPtr revIDLastSave="0" documentId="13_ncr:1_{9C49DE6D-BE96-4F2A-8B73-47C6D88744C9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4" l="1"/>
  <c r="D17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3" i="4"/>
  <c r="D4" i="4"/>
  <c r="D5" i="4"/>
  <c r="D7" i="4"/>
  <c r="D8" i="4"/>
  <c r="D9" i="4"/>
  <c r="D10" i="4"/>
  <c r="D11" i="4"/>
  <c r="D12" i="4"/>
  <c r="D13" i="4"/>
  <c r="D14" i="4"/>
  <c r="D15" i="4"/>
  <c r="D16" i="4"/>
  <c r="D18" i="4"/>
  <c r="D19" i="4"/>
  <c r="D20" i="4"/>
  <c r="D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<sst xmlns="http://schemas.openxmlformats.org/spreadsheetml/2006/main" count="21" uniqueCount="21">
  <si>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</si>
  <si>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</si>
  <si>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</si>
  <si>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</si>
  <si>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</si>
  <si>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</si>
  <si>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</si>
  <si>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</si>
  <si>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</si>
  <si>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</si>
  <si>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</si>
  <si>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May</t>
  </si>
  <si>
    <t>Jun</t>
  </si>
  <si>
    <t>Jul</t>
  </si>
  <si>
    <t>Aug</t>
  </si>
  <si>
    <t>Sept</t>
  </si>
  <si>
    <t>Oct</t>
  </si>
  <si>
    <t>Mesec</t>
  </si>
  <si>
    <t>Vrednosti</t>
  </si>
  <si>
    <t>Skupaj km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</si>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</sst>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1">
    <dxf>
      <numFmt numFmtId="35" formatCode="_ * #,##0.00_)_ ;_ * \(#,##0.00\)_ ;_ * &quot;-&quot;??_)_ ;_ @_ 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mar, Tija" refreshedDate="45999.823340162038" createdVersion="7" refreshedVersion="7" minRefreshableVersion="3" recordCount="19" xr:uid="{557BEE52-F075-4C3F-9521-51EBC853F983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43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String="0" containsBlank="1" containsNumber="1" containsInteger="1" minValue="446" maxValue="683" count="19">
        <m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/>
    </cacheField>
    <cacheField name="Prikaz" numFmtId="43">
      <sharedItems containsString="0" containsBlank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s v=""/>
    <m/>
  </r>
  <r>
    <x v="1"/>
    <n v="43.02"/>
    <n v="59.797800000000002"/>
    <n v="42521"/>
    <x v="1"/>
    <n v="7.006514657980456"/>
    <n v="7.006514657980456"/>
  </r>
  <r>
    <x v="2"/>
    <n v="41.67"/>
    <n v="57.921299999999995"/>
    <n v="43181"/>
    <x v="2"/>
    <n v="6.3136363636363635"/>
    <n v="6.3136363636363635"/>
  </r>
  <r>
    <x v="3"/>
    <n v="34.04"/>
    <n v="47.043279999999996"/>
    <n v="43696"/>
    <x v="3"/>
    <n v="6.6097087378640778"/>
    <n v="6.6097087378640778"/>
  </r>
  <r>
    <x v="4"/>
    <n v="42.42"/>
    <n v="59.897039999999997"/>
    <n v="44314"/>
    <x v="4"/>
    <n v="6.8640776699029127"/>
    <n v="6.8640776699029127"/>
  </r>
  <r>
    <x v="5"/>
    <n v="43.1"/>
    <n v="60.857199999999999"/>
    <n v="44997"/>
    <x v="5"/>
    <n v="6.3103953147877014"/>
    <n v="6.3103953147877014"/>
  </r>
  <r>
    <x v="6"/>
    <n v="38.18"/>
    <n v="54.368319999999997"/>
    <n v="45546"/>
    <x v="6"/>
    <n v="6.9544626593806917"/>
    <n v="6.9544626593806917"/>
  </r>
  <r>
    <x v="7"/>
    <n v="40.659999999999997"/>
    <n v="58.713039999999992"/>
    <n v="46126"/>
    <x v="7"/>
    <n v="7.0103448275862057"/>
    <n v="7.0103448275862057"/>
  </r>
  <r>
    <x v="8"/>
    <n v="39.17"/>
    <n v="56.561480000000003"/>
    <n v="46687"/>
    <x v="8"/>
    <n v="6.9821746880570412"/>
    <n v="6.9821746880570412"/>
  </r>
  <r>
    <x v="9"/>
    <n v="40.29"/>
    <n v="58.662239999999997"/>
    <n v="47250"/>
    <x v="9"/>
    <n v="7.1563055062166967"/>
    <n v="7.1563055062166967"/>
  </r>
  <r>
    <x v="10"/>
    <n v="41.01"/>
    <n v="59.710559999999994"/>
    <n v="47867"/>
    <x v="10"/>
    <n v="6.646677471636953"/>
    <n v="6.646677471636953"/>
  </r>
  <r>
    <x v="11"/>
    <n v="37.18"/>
    <n v="56.178979999999996"/>
    <n v="48407"/>
    <x v="11"/>
    <n v="6.8851851851851853"/>
    <n v="6.8851851851851853"/>
  </r>
  <r>
    <x v="12"/>
    <n v="41.46"/>
    <n v="62.646059999999999"/>
    <n v="49005"/>
    <x v="12"/>
    <n v="6.9331103678929766"/>
    <n v="6.9331103678929766"/>
  </r>
  <r>
    <x v="13"/>
    <n v="35.97"/>
    <n v="55.537680000000002"/>
    <n v="49480"/>
    <x v="13"/>
    <n v="7.5726315789473686"/>
    <n v="7.5726315789473686"/>
  </r>
  <r>
    <x v="14"/>
    <n v="38.74"/>
    <n v="60.085740000000001"/>
    <n v="50012"/>
    <x v="14"/>
    <n v="7.2819548872180455"/>
    <n v="7.2819548872180455"/>
  </r>
  <r>
    <x v="15"/>
    <n v="36.130000000000003"/>
    <n v="56.03763"/>
    <n v="50458"/>
    <x v="15"/>
    <n v="8.1008968609865484"/>
    <n v="8.1008968609865484"/>
  </r>
  <r>
    <x v="16"/>
    <n v="38.51"/>
    <n v="61.153880000000001"/>
    <n v="50991"/>
    <x v="16"/>
    <n v="7.2251407129455911"/>
    <n v="7.2251407129455911"/>
  </r>
  <r>
    <x v="17"/>
    <n v="38.840000000000003"/>
    <n v="61.677920000000007"/>
    <n v="51593"/>
    <x v="17"/>
    <n v="6.4518272425249181"/>
    <n v="6.4518272425249181"/>
  </r>
  <r>
    <x v="18"/>
    <n v="41.73"/>
    <n v="64.097279999999998"/>
    <n v="52176"/>
    <x v="18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18D39-D653-432A-BFE0-6BDC4387B3FC}" name="PivotTable2" cacheId="7" dataOnRows="1" applyNumberFormats="0" applyBorderFormats="0" applyFontFormats="0" applyPatternFormats="0" applyAlignmentFormats="0" applyWidthHeightFormats="1" dataCaption="Vrednosti" updatedVersion="7" minRefreshableVersion="3" useAutoFormatting="1" itemPrintTitles="1" createdVersion="7" indent="0" outline="1" outlineData="1" multipleFieldFilters="0" colHeaderCaption="Mesec">
  <location ref="B27:I31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43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2">
    <field x="7"/>
    <field x="0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m" fld="4" baseField="7" baseItem="5"/>
    <dataField name="Povprečna poraba" fld="4" subtotal="average" baseField="7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0"/>
    <tableColumn id="2" xr3:uid="{6DC2697C-FCB3-8A47-945B-8CD05834AA8C}" uniqueName="2" name="Litri" queryTableFieldId="2" dataDxfId="9"/>
    <tableColumn id="3" xr3:uid="{19DBC541-3ADF-4E48-8786-6E42DA219788}" uniqueName="3" name="Plačano" queryTableFieldId="3" dataCellStyle="Comma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100*realna_poraba_cupra__2[[#This Row],[Litri]]/realna_poraba_cupra__2[[#This Row],[Prevoženo]]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1"/>
  <sheetViews>
    <sheetView tabSelected="1" topLeftCell="A7" zoomScale="110" zoomScaleNormal="110" workbookViewId="0">
      <selection activeCell="B31" sqref="B31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4" width="12.28515625" bestFit="1" customWidth="1"/>
    <col min="5" max="5" width="7.140625" bestFit="1" customWidth="1"/>
    <col min="6" max="6" width="6.42578125" bestFit="1" customWidth="1"/>
    <col min="7" max="7" width="7" bestFit="1" customWidth="1"/>
    <col min="8" max="8" width="6.140625" bestFit="1" customWidth="1"/>
    <col min="9" max="9" width="11.42578125" bestFit="1" customWidth="1"/>
    <col min="10" max="13" width="18.42578125" bestFit="1" customWidth="1"/>
    <col min="14" max="14" width="22.42578125" bestFit="1" customWidth="1"/>
    <col min="15" max="15" width="23.7109375" bestFit="1" customWidth="1"/>
    <col min="16" max="17" width="7.5703125" bestFit="1" customWidth="1"/>
    <col min="18" max="18" width="9.7109375" bestFit="1" customWidth="1"/>
    <col min="19" max="22" width="8" bestFit="1" customWidth="1"/>
    <col min="23" max="23" width="10.140625" bestFit="1" customWidth="1"/>
    <col min="24" max="25" width="7" bestFit="1" customWidth="1"/>
    <col min="26" max="26" width="9.140625" bestFit="1" customWidth="1"/>
    <col min="27" max="27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INDEX(Table3[Bencin], MATCH(realna_poraba_cupra__2[[#This Row],[Datum]], Table3[Veljavnost], 1))*realna_poraba_cupra__2[[#This Row],[Litri]]</f>
        <v>58.296720000000001</v>
      </c>
      <c r="E3" s="2">
        <v>41907</v>
      </c>
      <c r="G3" t="s">
        <v>4</v>
      </c>
      <c r="H3" s="6"/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INDEX(Table3[Bencin], MATCH(realna_poraba_cupra__2[[#This Row],[Datum]], Table3[Veljavnost], 1))*realna_poraba_cupra__2[[#This Row],[Litri]]</f>
        <v>59.797800000000002</v>
      </c>
      <c r="E4" s="2">
        <v>42521</v>
      </c>
      <c r="F4" s="2">
        <f>E4-E3</f>
        <v>614</v>
      </c>
      <c r="G4" s="5">
        <f>100*realna_poraba_cupra__2[[#This Row],[Litri]]/realna_poraba_cupra__2[[#This Row],[Prevoženo]]</f>
        <v>7.006514657980456</v>
      </c>
      <c r="H4" s="5">
        <f>100*realna_poraba_cupra__2[[#This Row],[Litri]]/realna_poraba_cupra__2[[#This Row],[Prevoženo]]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INDEX(Table3[Bencin], MATCH(realna_poraba_cupra__2[[#This Row],[Datum]], Table3[Veljavnost], 1))*realna_poraba_cupra__2[[#This Row],[Litri]]</f>
        <v>57.921299999999995</v>
      </c>
      <c r="E5" s="2">
        <v>43181</v>
      </c>
      <c r="F5" s="2">
        <f t="shared" ref="F5:F21" si="0">E5-E4</f>
        <v>660</v>
      </c>
      <c r="G5" s="5">
        <f>100*realna_poraba_cupra__2[[#This Row],[Litri]]/realna_poraba_cupra__2[[#This Row],[Prevoženo]]</f>
        <v>6.3136363636363635</v>
      </c>
      <c r="H5" s="5">
        <f>100*realna_poraba_cupra__2[[#This Row],[Litri]]/realna_poraba_cupra__2[[#This Row],[Prevoženo]]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INDEX(Table3[Bencin], MATCH(realna_poraba_cupra__2[[#This Row],[Datum]], Table3[Veljavnost], 1))*realna_poraba_cupra__2[[#This Row],[Litri]]</f>
        <v>47.043279999999996</v>
      </c>
      <c r="E6" s="2">
        <v>43696</v>
      </c>
      <c r="F6" s="2">
        <f t="shared" si="0"/>
        <v>515</v>
      </c>
      <c r="G6" s="5">
        <f>100*realna_poraba_cupra__2[[#This Row],[Litri]]/realna_poraba_cupra__2[[#This Row],[Prevoženo]]</f>
        <v>6.6097087378640778</v>
      </c>
      <c r="H6" s="5">
        <f>100*realna_poraba_cupra__2[[#This Row],[Litri]]/realna_poraba_cupra__2[[#This Row],[Prevoženo]]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INDEX(Table3[Bencin], MATCH(realna_poraba_cupra__2[[#This Row],[Datum]], Table3[Veljavnost], 1))*realna_poraba_cupra__2[[#This Row],[Litri]]</f>
        <v>59.897039999999997</v>
      </c>
      <c r="E7" s="2">
        <v>44314</v>
      </c>
      <c r="F7" s="2">
        <f t="shared" si="0"/>
        <v>618</v>
      </c>
      <c r="G7" s="5">
        <f>100*realna_poraba_cupra__2[[#This Row],[Litri]]/realna_poraba_cupra__2[[#This Row],[Prevoženo]]</f>
        <v>6.8640776699029127</v>
      </c>
      <c r="H7" s="5">
        <f>100*realna_poraba_cupra__2[[#This Row],[Litri]]/realna_poraba_cupra__2[[#This Row],[Prevoženo]]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INDEX(Table3[Bencin], MATCH(realna_poraba_cupra__2[[#This Row],[Datum]], Table3[Veljavnost], 1))*realna_poraba_cupra__2[[#This Row],[Litri]]</f>
        <v>60.857199999999999</v>
      </c>
      <c r="E8" s="2">
        <v>44997</v>
      </c>
      <c r="F8" s="2">
        <f t="shared" si="0"/>
        <v>683</v>
      </c>
      <c r="G8" s="5">
        <f>100*realna_poraba_cupra__2[[#This Row],[Litri]]/realna_poraba_cupra__2[[#This Row],[Prevoženo]]</f>
        <v>6.3103953147877014</v>
      </c>
      <c r="H8" s="5">
        <f>100*realna_poraba_cupra__2[[#This Row],[Litri]]/realna_poraba_cupra__2[[#This Row],[Prevoženo]]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INDEX(Table3[Bencin], MATCH(realna_poraba_cupra__2[[#This Row],[Datum]], Table3[Veljavnost], 1))*realna_poraba_cupra__2[[#This Row],[Litri]]</f>
        <v>54.368319999999997</v>
      </c>
      <c r="E9" s="2">
        <v>45546</v>
      </c>
      <c r="F9" s="2">
        <f t="shared" si="0"/>
        <v>549</v>
      </c>
      <c r="G9" s="5">
        <f>100*realna_poraba_cupra__2[[#This Row],[Litri]]/realna_poraba_cupra__2[[#This Row],[Prevoženo]]</f>
        <v>6.9544626593806917</v>
      </c>
      <c r="H9" s="5">
        <f>100*realna_poraba_cupra__2[[#This Row],[Litri]]/realna_poraba_cupra__2[[#This Row],[Prevoženo]]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INDEX(Table3[Bencin], MATCH(realna_poraba_cupra__2[[#This Row],[Datum]], Table3[Veljavnost], 1))*realna_poraba_cupra__2[[#This Row],[Litri]]</f>
        <v>58.713039999999992</v>
      </c>
      <c r="E10" s="2">
        <v>46126</v>
      </c>
      <c r="F10" s="2">
        <f t="shared" si="0"/>
        <v>580</v>
      </c>
      <c r="G10" s="5">
        <f>100*realna_poraba_cupra__2[[#This Row],[Litri]]/realna_poraba_cupra__2[[#This Row],[Prevoženo]]</f>
        <v>7.0103448275862057</v>
      </c>
      <c r="H10" s="5">
        <f>100*realna_poraba_cupra__2[[#This Row],[Litri]]/realna_poraba_cupra__2[[#This Row],[Prevoženo]]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INDEX(Table3[Bencin], MATCH(realna_poraba_cupra__2[[#This Row],[Datum]], Table3[Veljavnost], 1))*realna_poraba_cupra__2[[#This Row],[Litri]]</f>
        <v>56.561480000000003</v>
      </c>
      <c r="E11" s="2">
        <v>46687</v>
      </c>
      <c r="F11" s="2">
        <f t="shared" si="0"/>
        <v>561</v>
      </c>
      <c r="G11" s="5">
        <f>100*realna_poraba_cupra__2[[#This Row],[Litri]]/realna_poraba_cupra__2[[#This Row],[Prevoženo]]</f>
        <v>6.9821746880570412</v>
      </c>
      <c r="H11" s="5">
        <f>100*realna_poraba_cupra__2[[#This Row],[Litri]]/realna_poraba_cupra__2[[#This Row],[Prevoženo]]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INDEX(Table3[Bencin], MATCH(realna_poraba_cupra__2[[#This Row],[Datum]], Table3[Veljavnost], 1))*realna_poraba_cupra__2[[#This Row],[Litri]]</f>
        <v>58.662239999999997</v>
      </c>
      <c r="E12" s="2">
        <v>47250</v>
      </c>
      <c r="F12" s="2">
        <f t="shared" si="0"/>
        <v>563</v>
      </c>
      <c r="G12" s="5">
        <f>100*realna_poraba_cupra__2[[#This Row],[Litri]]/realna_poraba_cupra__2[[#This Row],[Prevoženo]]</f>
        <v>7.1563055062166967</v>
      </c>
      <c r="H12" s="5">
        <f>100*realna_poraba_cupra__2[[#This Row],[Litri]]/realna_poraba_cupra__2[[#This Row],[Prevoženo]]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INDEX(Table3[Bencin], MATCH(realna_poraba_cupra__2[[#This Row],[Datum]], Table3[Veljavnost], 1))*realna_poraba_cupra__2[[#This Row],[Litri]]</f>
        <v>59.710559999999994</v>
      </c>
      <c r="E13" s="2">
        <v>47867</v>
      </c>
      <c r="F13" s="2">
        <f t="shared" si="0"/>
        <v>617</v>
      </c>
      <c r="G13" s="5">
        <f>100*realna_poraba_cupra__2[[#This Row],[Litri]]/realna_poraba_cupra__2[[#This Row],[Prevoženo]]</f>
        <v>6.646677471636953</v>
      </c>
      <c r="H13" s="5">
        <f>100*realna_poraba_cupra__2[[#This Row],[Litri]]/realna_poraba_cupra__2[[#This Row],[Prevoženo]]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INDEX(Table3[Bencin], MATCH(realna_poraba_cupra__2[[#This Row],[Datum]], Table3[Veljavnost], 1))*realna_poraba_cupra__2[[#This Row],[Litri]]</f>
        <v>56.178979999999996</v>
      </c>
      <c r="E14" s="2">
        <v>48407</v>
      </c>
      <c r="F14" s="2">
        <f t="shared" si="0"/>
        <v>540</v>
      </c>
      <c r="G14" s="5">
        <f>100*realna_poraba_cupra__2[[#This Row],[Litri]]/realna_poraba_cupra__2[[#This Row],[Prevoženo]]</f>
        <v>6.8851851851851853</v>
      </c>
      <c r="H14" s="5">
        <f>100*realna_poraba_cupra__2[[#This Row],[Litri]]/realna_poraba_cupra__2[[#This Row],[Prevoženo]]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INDEX(Table3[Bencin], MATCH(realna_poraba_cupra__2[[#This Row],[Datum]], Table3[Veljavnost], 1))*realna_poraba_cupra__2[[#This Row],[Litri]]</f>
        <v>62.646059999999999</v>
      </c>
      <c r="E15" s="2">
        <v>49005</v>
      </c>
      <c r="F15" s="2">
        <f t="shared" si="0"/>
        <v>598</v>
      </c>
      <c r="G15" s="5">
        <f>100*realna_poraba_cupra__2[[#This Row],[Litri]]/realna_poraba_cupra__2[[#This Row],[Prevoženo]]</f>
        <v>6.9331103678929766</v>
      </c>
      <c r="H15" s="5">
        <f>100*realna_poraba_cupra__2[[#This Row],[Litri]]/realna_poraba_cupra__2[[#This Row],[Prevoženo]]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INDEX(Table3[Bencin], MATCH(realna_poraba_cupra__2[[#This Row],[Datum]], Table3[Veljavnost], 1))*realna_poraba_cupra__2[[#This Row],[Litri]]</f>
        <v>55.537680000000002</v>
      </c>
      <c r="E16" s="2">
        <v>49480</v>
      </c>
      <c r="F16" s="2">
        <f t="shared" si="0"/>
        <v>475</v>
      </c>
      <c r="G16" s="5">
        <f>100*realna_poraba_cupra__2[[#This Row],[Litri]]/realna_poraba_cupra__2[[#This Row],[Prevoženo]]</f>
        <v>7.5726315789473686</v>
      </c>
      <c r="H16" s="5">
        <f>100*realna_poraba_cupra__2[[#This Row],[Litri]]/realna_poraba_cupra__2[[#This Row],[Prevoženo]]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INDEX(Table3[Bencin], MATCH(realna_poraba_cupra__2[[#This Row],[Datum]], Table3[Veljavnost], 1))*realna_poraba_cupra__2[[#This Row],[Litri]]</f>
        <v>60.085740000000001</v>
      </c>
      <c r="E17" s="2">
        <v>50012</v>
      </c>
      <c r="F17" s="2">
        <f t="shared" si="0"/>
        <v>532</v>
      </c>
      <c r="G17" s="5">
        <f>100*realna_poraba_cupra__2[[#This Row],[Litri]]/realna_poraba_cupra__2[[#This Row],[Prevoženo]]</f>
        <v>7.2819548872180455</v>
      </c>
      <c r="H17" s="5">
        <f>100*realna_poraba_cupra__2[[#This Row],[Litri]]/realna_poraba_cupra__2[[#This Row],[Prevoženo]]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INDEX(Table3[Bencin], MATCH(realna_poraba_cupra__2[[#This Row],[Datum]], Table3[Veljavnost], 1))*realna_poraba_cupra__2[[#This Row],[Litri]]</f>
        <v>56.03763</v>
      </c>
      <c r="E18" s="2">
        <v>50458</v>
      </c>
      <c r="F18" s="2">
        <f t="shared" si="0"/>
        <v>446</v>
      </c>
      <c r="G18" s="5">
        <f>100*realna_poraba_cupra__2[[#This Row],[Litri]]/realna_poraba_cupra__2[[#This Row],[Prevoženo]]</f>
        <v>8.1008968609865484</v>
      </c>
      <c r="H18" s="5">
        <f>100*realna_poraba_cupra__2[[#This Row],[Litri]]/realna_poraba_cupra__2[[#This Row],[Prevoženo]]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INDEX(Table3[Bencin], MATCH(realna_poraba_cupra__2[[#This Row],[Datum]], Table3[Veljavnost], 1))*realna_poraba_cupra__2[[#This Row],[Litri]]</f>
        <v>61.153880000000001</v>
      </c>
      <c r="E19" s="2">
        <v>50991</v>
      </c>
      <c r="F19" s="2">
        <f t="shared" si="0"/>
        <v>533</v>
      </c>
      <c r="G19" s="5">
        <f>100*realna_poraba_cupra__2[[#This Row],[Litri]]/realna_poraba_cupra__2[[#This Row],[Prevoženo]]</f>
        <v>7.2251407129455911</v>
      </c>
      <c r="H19" s="5">
        <f>100*realna_poraba_cupra__2[[#This Row],[Litri]]/realna_poraba_cupra__2[[#This Row],[Prevoženo]]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INDEX(Table3[Bencin], MATCH(realna_poraba_cupra__2[[#This Row],[Datum]], Table3[Veljavnost], 1))*realna_poraba_cupra__2[[#This Row],[Litri]]</f>
        <v>61.677920000000007</v>
      </c>
      <c r="E20" s="2">
        <v>51593</v>
      </c>
      <c r="F20" s="2">
        <f t="shared" si="0"/>
        <v>602</v>
      </c>
      <c r="G20" s="5">
        <f>100*realna_poraba_cupra__2[[#This Row],[Litri]]/realna_poraba_cupra__2[[#This Row],[Prevoženo]]</f>
        <v>6.4518272425249181</v>
      </c>
      <c r="H20" s="5">
        <f>100*realna_poraba_cupra__2[[#This Row],[Litri]]/realna_poraba_cupra__2[[#This Row],[Prevoženo]]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INDEX(Table3[Bencin], MATCH(realna_poraba_cupra__2[[#This Row],[Datum]], Table3[Veljavnost], 1))*realna_poraba_cupra__2[[#This Row],[Litri]]</f>
        <v>64.097279999999998</v>
      </c>
      <c r="E21" s="2">
        <v>52176</v>
      </c>
      <c r="F21" s="2">
        <f t="shared" si="0"/>
        <v>583</v>
      </c>
      <c r="G21" s="5">
        <f>100*realna_poraba_cupra__2[[#This Row],[Litri]]/realna_poraba_cupra__2[[#This Row],[Prevoženo]]</f>
        <v>7.1578044596912518</v>
      </c>
      <c r="H21" s="5">
        <f>100*realna_poraba_cupra__2[[#This Row],[Litri]]/realna_poraba_cupra__2[[#This Row],[Prevoženo]]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7" spans="2:11" x14ac:dyDescent="0.25">
      <c r="C27" s="7" t="s">
        <v>17</v>
      </c>
    </row>
    <row r="28" spans="2:11" x14ac:dyDescent="0.25"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10</v>
      </c>
    </row>
    <row r="29" spans="2:11" x14ac:dyDescent="0.25">
      <c r="B29" s="7" t="s">
        <v>18</v>
      </c>
    </row>
    <row r="30" spans="2:11" x14ac:dyDescent="0.25">
      <c r="B30" s="8" t="s">
        <v>19</v>
      </c>
      <c r="C30" s="9">
        <v>1789</v>
      </c>
      <c r="D30" s="9">
        <v>1850</v>
      </c>
      <c r="E30" s="9">
        <v>2321</v>
      </c>
      <c r="F30" s="9">
        <v>1138</v>
      </c>
      <c r="G30" s="9">
        <v>1986</v>
      </c>
      <c r="H30" s="9">
        <v>1185</v>
      </c>
      <c r="I30" s="9">
        <v>10269</v>
      </c>
    </row>
    <row r="31" spans="2:11" x14ac:dyDescent="0.25">
      <c r="B31" s="8" t="s">
        <v>20</v>
      </c>
      <c r="C31" s="9">
        <v>596.33333333333337</v>
      </c>
      <c r="D31" s="9">
        <v>616.66666666666663</v>
      </c>
      <c r="E31" s="9">
        <v>580.25</v>
      </c>
      <c r="F31" s="9">
        <v>569</v>
      </c>
      <c r="G31" s="9">
        <v>496.5</v>
      </c>
      <c r="H31" s="9">
        <v>592.5</v>
      </c>
      <c r="I31" s="9">
        <v>570.5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{E6509935-E3C5-4EE4-A03B-BAFC11AA5B05}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09935-E3C5-4EE4-A03B-BAFC11AA5B0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Vidmar, Tija</cp:lastModifiedBy>
  <dcterms:created xsi:type="dcterms:W3CDTF">2007-10-01T06:54:22Z</dcterms:created>
  <dcterms:modified xsi:type="dcterms:W3CDTF">2025-12-08T18:51:28Z</dcterms:modified>
</cp:coreProperties>
</file>