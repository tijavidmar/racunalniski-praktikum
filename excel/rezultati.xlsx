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48789\RP\racunalniski-praktikum\excel\"/>
    </mc:Choice>
  </mc:AlternateContent>
  <xr:revisionPtr revIDLastSave="0" documentId="13_ncr:1_{D047BFD5-D0FB-4DC5-BC82-811F09AB6F97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Rezultati" sheetId="1" r:id="rId1"/>
  </sheets>
  <calcPr calcId="191029"/>
  <pivotCaches>
    <pivotCache cacheId="1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<sst xmlns="http://schemas.openxmlformats.org/spreadsheetml/2006/main" count="104" uniqueCount="69">
  <si>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</si>
  <si>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</si>
  <si>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</si>
  <si>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</si>
  <si>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</si>
  <si>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</si>
  <si>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</si>
  <si>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</si>
  <si>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</si>
  <si>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</si>
  <si>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</si>
  <si>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</si>
  <si>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</si>
  <si>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</si>
  <si>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</si>
  <si>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</si>
  <si>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</si>
  <si>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</si>
  <si>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</si>
  <si>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</si>
  <si>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</si>
  <si>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</si>
  <si>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</si>
  <si>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</si>
  <si>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</si>
  <si>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</si>
  <si>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</si>
  <si>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</si>
  <si>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</si>
  <si>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</si>
  <si>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</si>
  <si>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</si>
  <si>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</si>
  <si>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</si>
  <si>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</si>
  <si>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</si>
  <si>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</si>
  <si>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</si>
  <si>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</si>
  <si>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</si>
  <si>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</si>
  <si>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</si>
  <si>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</si>
  <si>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</si>
  <si>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</si>
  <si>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</si>
  <si>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</si>
  <si>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</si>
  <si>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</si>
  <si>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</si>
  <si>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</si>
  <si>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</si>
  <si>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</si>
  <si>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</si>
  <si>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</si>
  <si>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</si>
  <si>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</si>
  <si>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</si>
  <si>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</si>
  <si>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</si>
  <si>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</si>
  <si>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</si>
  <si>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</si>
  <si>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</si>
  <si>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</si>
  <si>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</si>
  <si>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Minimum</t>
  </si>
  <si>
    <t>Maksimum</t>
  </si>
  <si>
    <t>Povprečje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</si>
</sst>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43" fontId="0" fillId="0" borderId="0" xfId="42" applyFont="1"/>
    <xf numFmtId="0" fontId="0" fillId="0" borderId="0" xfId="0" applyAlignment="1">
      <alignment horizontal="left"/>
    </xf>
    <xf numFmtId="43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explosion val="47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F7-4C5F-9335-70C83E608F76}"/>
              </c:ext>
            </c:extLst>
          </c:dPt>
          <c:dPt>
            <c:idx val="1"/>
            <c:bubble3D val="0"/>
            <c:explosion val="33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F7-4C5F-9335-70C83E608F76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2DF7-4C5F-9335-70C83E608F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7-4C5F-9335-70C83E608F76}"/>
            </c:ext>
          </c:extLst>
        </c:ser>
        <c:ser>
          <c:idx val="1"/>
          <c:order val="1"/>
          <c:tx>
            <c:strRef>
              <c:f>'Rezultati'!$J$7</c:f>
              <c:strCache>
                <c:ptCount val="1"/>
                <c:pt idx="0">
                  <c:v>Povprečje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'Rezultati'!$J$8:$J$10</c:f>
              <c:numCache>
                <c:formatCode>_(* #,##0.00_);_(* \(#,##0.00\);_(* "-"??_);_(@_)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7-4C5F-9335-70C83E608F76}"/>
            </c:ext>
          </c:extLst>
        </c:ser>
        <c:ser>
          <c:idx val="2"/>
          <c:order val="2"/>
          <c:tx>
            <c:strRef>
              <c:f>'Rezultati'!$K$7</c:f>
              <c:strCache>
                <c:ptCount val="1"/>
                <c:pt idx="0">
                  <c:v>Maksimum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'Rezultati'!$K$8:$K$10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7-4C5F-9335-70C83E608F76}"/>
            </c:ext>
          </c:extLst>
        </c:ser>
        <c:ser>
          <c:idx val="3"/>
          <c:order val="3"/>
          <c:tx>
            <c:strRef>
              <c:f>'Rezultati'!$L$7</c:f>
              <c:strCache>
                <c:ptCount val="1"/>
                <c:pt idx="0">
                  <c:v>Minimum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'Rezultati'!$L$8:$L$10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F7-4C5F-9335-70C83E608F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_(* #,##0.00_);_(* \(#,##0.00\);_(* "-"??_);_(@_)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B-4651-9D7F-D72A278AFCA1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B-4651-9D7F-D72A278A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4016"/>
        <c:axId val="79483600"/>
      </c:barChart>
      <c:catAx>
        <c:axId val="7948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9483600"/>
        <c:crosses val="autoZero"/>
        <c:auto val="1"/>
        <c:lblAlgn val="ctr"/>
        <c:lblOffset val="100"/>
        <c:noMultiLvlLbl val="0"/>
      </c:catAx>
      <c:valAx>
        <c:axId val="794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948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10</xdr:row>
      <xdr:rowOff>176212</xdr:rowOff>
    </xdr:from>
    <xdr:to>
      <xdr:col>12</xdr:col>
      <xdr:colOff>9525</xdr:colOff>
      <xdr:row>22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171A87-E196-48AA-88EE-B0A7EA357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1</xdr:rowOff>
    </xdr:from>
    <xdr:to>
      <xdr:col>12</xdr:col>
      <xdr:colOff>180975</xdr:colOff>
      <xdr:row>35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29CCAB-3A19-46C1-B3CB-205B4CEDC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mar, Tija" refreshedDate="45999.752648263886" createdVersion="7" refreshedVersion="7" minRefreshableVersion="3" recordCount="28" xr:uid="{F5F65F9F-AF11-4324-9033-997790E76629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B500C-ABBF-46B6-A4B2-024AC103F467}" name="PivotTable7" cacheId="15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7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5">
    <format dxfId="33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27">
      <pivotArea field="2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35">
      <calculatedColumnFormula>IF(Rezultati[[#This Row],[Točke]]&gt;=50,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34">
      <calculatedColumnFormula>COUNTIF(Rezultati[Skupina], D22)</calculatedColumnFormula>
    </tableColumn>
    <tableColumn id="3" xr3:uid="{49F9352C-9597-4E44-8122-AF1CE6CE856F}" name="2022" dataCellStyle="Comma">
      <calculatedColumnFormula>AVERAGEIF(Rezultati[Skupina], Skupine[[#This Row],[Test]], 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B3" sqref="B3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0.28515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Row],[Točke]]&gt;=50, "da", "ne")</f>
        <v>ne</v>
      </c>
      <c r="H3" t="s">
        <v>9</v>
      </c>
      <c r="I3">
        <f>COUNTIF(Rezultati[Skupina], D22)</f>
        <v>9</v>
      </c>
      <c r="J3" s="2">
        <f>AVERAGEIF(Rezultati[Skupina], Skupine[[#This Row],[Test]], 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s="1" t="str">
        <f>IF(Rezultati[[#This Row],[Točke]]&gt;=50, "da", "ne")</f>
        <v>ne</v>
      </c>
      <c r="H4" t="s">
        <v>12</v>
      </c>
      <c r="I4">
        <f>COUNTIF(Rezultati[Skupina], D23)</f>
        <v>12</v>
      </c>
      <c r="J4" s="2">
        <f>AVERAGEIF(Rezultati[Skupina], Skupine[[#This Row],[Test]], 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s="1" t="str">
        <f>IF(Rezultati[[#This Row],[Točke]]&gt;=50, "da", "ne")</f>
        <v>ne</v>
      </c>
      <c r="H5" t="s">
        <v>15</v>
      </c>
      <c r="I5">
        <f>COUNTIF(Rezultati[Skupina], D24)</f>
        <v>7</v>
      </c>
      <c r="J5" s="2">
        <f>AVERAGEIF(Rezultati[Skupina], Skupine[[#This Row],[Test]], 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s="1" t="str">
        <f>IF(Rezultati[[#This Row],[Točke]]&gt;=50, "da", "ne")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s="1" t="str">
        <f>IF(Rezultati[[#This Row],[Točke]]&gt;=50, "da", "ne")</f>
        <v>da</v>
      </c>
      <c r="H7" s="5" t="s">
        <v>2</v>
      </c>
      <c r="I7" s="5" t="s">
        <v>6</v>
      </c>
      <c r="J7" s="5" t="s">
        <v>68</v>
      </c>
      <c r="K7" s="5" t="s">
        <v>67</v>
      </c>
      <c r="L7" s="5" t="s">
        <v>66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s="1" t="str">
        <f>IF(Rezultati[[#This Row],[Točke]]&gt;=50, "da", "ne")</f>
        <v>da</v>
      </c>
      <c r="H8" s="3" t="s">
        <v>9</v>
      </c>
      <c r="I8" s="1">
        <v>9</v>
      </c>
      <c r="J8" s="4">
        <v>58.222222222222221</v>
      </c>
      <c r="K8" s="1">
        <v>94</v>
      </c>
      <c r="L8" s="1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s="1" t="str">
        <f>IF(Rezultati[[#This Row],[Točke]]&gt;=50, "da", "ne")</f>
        <v>da</v>
      </c>
      <c r="H9" s="3" t="s">
        <v>12</v>
      </c>
      <c r="I9" s="1">
        <v>12</v>
      </c>
      <c r="J9" s="4">
        <v>66.5</v>
      </c>
      <c r="K9" s="1">
        <v>100</v>
      </c>
      <c r="L9" s="1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s="1" t="str">
        <f>IF(Rezultati[[#This Row],[Točke]]&gt;=50, "da", "ne")</f>
        <v>ne</v>
      </c>
      <c r="H10" s="3" t="s">
        <v>15</v>
      </c>
      <c r="I10" s="1">
        <v>7</v>
      </c>
      <c r="J10" s="4">
        <v>47.714285714285715</v>
      </c>
      <c r="K10" s="1">
        <v>76</v>
      </c>
      <c r="L10" s="1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s="1" t="str">
        <f>IF(Rezultati[[#This Row],[Točke]]&gt;=50, "da", "ne")</f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s="1" t="str">
        <f>IF(Rezultati[[#This Row],[Točke]]&gt;=50, "da", "ne")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s="1" t="str">
        <f>IF(Rezultati[[#This Row],[Točke]]&gt;=50, "da", "ne")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s="1" t="str">
        <f>IF(Rezultati[[#This Row],[Točke]]&gt;=50, "da", "ne")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s="1" t="str">
        <f>IF(Rezultati[[#This Row],[Točke]]&gt;=50, "da", "ne")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s="1" t="str">
        <f>IF(Rezultati[[#This Row],[Točke]]&gt;=50, "da", "ne")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s="1" t="str">
        <f>IF(Rezultati[[#This Row],[Točke]]&gt;=50, "da", 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s="1" t="str">
        <f>IF(Rezultati[[#This Row],[Točke]]&gt;=50, "da", "ne")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s="1" t="str">
        <f>IF(Rezultati[[#This Row],[Točke]]&gt;=50, "da", 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s="1" t="str">
        <f>IF(Rezultati[[#This Row],[Točke]]&gt;=50, "da", "ne")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s="1" t="str">
        <f>IF(Rezultati[[#This Row],[Točke]]&gt;=50, "da", "ne")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s="1" t="str">
        <f>IF(Rezultati[[#This Row],[Točke]]&gt;=50, "da", 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s="1" t="str">
        <f>IF(Rezultati[[#This Row],[Točke]]&gt;=50, "da", 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s="1" t="str">
        <f>IF(Rezultati[[#This Row],[Točke]]&gt;=50, "da", "ne")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s="1" t="str">
        <f>IF(Rezultati[[#This Row],[Točke]]&gt;=50, "da", 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s="1" t="str">
        <f>IF(Rezultati[[#This Row],[Točke]]&gt;=50, "da", 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s="1" t="str">
        <f>IF(Rezultati[[#This Row],[Točke]]&gt;=50, "da", 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s="1" t="str">
        <f>IF(Rezultati[[#This Row],[Točke]]&gt;=50, "da", 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s="1" t="str">
        <f>IF(Rezultati[[#This Row],[Točke]]&gt;=50, "da", "ne")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s="1" t="str">
        <f>IF(Rezultati[[#This Row],[Točke]]&gt;=50, "da", "ne")</f>
        <v>ne</v>
      </c>
    </row>
  </sheetData>
  <conditionalFormatting sqref="E3:E30 B3:C30">
    <cfRule type="expression" dxfId="1" priority="4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Vidmar, Tija</cp:lastModifiedBy>
  <dcterms:created xsi:type="dcterms:W3CDTF">2007-11-10T02:36:44Z</dcterms:created>
  <dcterms:modified xsi:type="dcterms:W3CDTF">2025-12-08T17:35:33Z</dcterms:modified>
</cp:coreProperties>
</file>